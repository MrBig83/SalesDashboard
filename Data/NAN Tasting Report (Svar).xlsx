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ulärsvar 1" sheetId="1" r:id="rId5"/>
    <sheet state="visible" name="NAN Dashboard" sheetId="2" r:id="rId6"/>
  </sheets>
  <definedNames/>
  <calcPr/>
</workbook>
</file>

<file path=xl/sharedStrings.xml><?xml version="1.0" encoding="utf-8"?>
<sst xmlns="http://schemas.openxmlformats.org/spreadsheetml/2006/main" count="79" uniqueCount="69">
  <si>
    <t>Tidstämpel</t>
  </si>
  <si>
    <r>
      <rPr>
        <rFont val="Arial"/>
        <b/>
        <color theme="1"/>
      </rPr>
      <t>Date</t>
    </r>
    <r>
      <rPr>
        <rFont val="Arial"/>
        <color theme="1"/>
      </rPr>
      <t xml:space="preserve">
Date of activation (per session or per roundtrip)</t>
    </r>
  </si>
  <si>
    <r>
      <rPr>
        <rFont val="Arial"/>
        <b/>
        <color theme="1"/>
      </rPr>
      <t>Location</t>
    </r>
    <r>
      <rPr>
        <rFont val="Arial"/>
        <color theme="1"/>
      </rPr>
      <t xml:space="preserve">
Route and vessel (e.g. Stena Danica – Gothenburg–Frederikshavn)</t>
    </r>
  </si>
  <si>
    <r>
      <rPr>
        <rFont val="Arial"/>
        <b/>
        <color theme="1"/>
      </rPr>
      <t>Passengers/ visitors (approx.)</t>
    </r>
    <r>
      <rPr>
        <rFont val="Arial"/>
        <color theme="1"/>
      </rPr>
      <t xml:space="preserve">
Total number of passengers on this departure (from official report)</t>
    </r>
  </si>
  <si>
    <t>Brand</t>
  </si>
  <si>
    <r>
      <rPr>
        <rFont val="Arial"/>
        <b/>
        <color theme="1"/>
      </rPr>
      <t>Number of tastings (approx.)</t>
    </r>
    <r>
      <rPr>
        <rFont val="Arial"/>
        <color theme="1"/>
      </rPr>
      <t xml:space="preserve">
Estimated number of individual customers who engaged in tasting (not number of samples poured)</t>
    </r>
  </si>
  <si>
    <r>
      <rPr>
        <rFont val="Arial"/>
        <b/>
        <color theme="1"/>
      </rPr>
      <t xml:space="preserve">Estimated number of purchases </t>
    </r>
    <r>
      <rPr>
        <rFont val="Arial"/>
        <color theme="1"/>
      </rPr>
      <t xml:space="preserve">
Estimated number of bottles sold based on your observation</t>
    </r>
  </si>
  <si>
    <r>
      <rPr>
        <rFont val="Arial"/>
        <b/>
        <color theme="1"/>
      </rPr>
      <t>Which product generated the most curiosity ?</t>
    </r>
    <r>
      <rPr>
        <rFont val="Arial"/>
        <color theme="1"/>
      </rPr>
      <t xml:space="preserve">
Which product attracted the most attention or initial interest (not necessarily purchases)</t>
    </r>
  </si>
  <si>
    <t>Which product do you think sold the most?</t>
  </si>
  <si>
    <t>Which age group showed the most purchase interest?</t>
  </si>
  <si>
    <r>
      <rPr>
        <rFont val="Arial"/>
        <b/>
        <color theme="1"/>
      </rPr>
      <t>Conversion drivers?</t>
    </r>
    <r>
      <rPr>
        <rFont val="Arial"/>
        <color theme="1"/>
      </rPr>
      <t xml:space="preserve">
What specifically triggered purchase decisions? (storytelling, taste profile, comparisons etc.)</t>
    </r>
  </si>
  <si>
    <r>
      <rPr>
        <rFont val="Arial"/>
        <b/>
        <color theme="1"/>
      </rPr>
      <t>Most common customer question</t>
    </r>
    <r>
      <rPr>
        <rFont val="Arial"/>
        <color theme="1"/>
      </rPr>
      <t xml:space="preserve">
What did customers most often ask before buying or tasting?</t>
    </r>
  </si>
  <si>
    <t>How well did the session go?</t>
  </si>
  <si>
    <r>
      <rPr>
        <rFont val="Arial"/>
        <b/>
        <color theme="1"/>
      </rPr>
      <t>Key Sales Insights (actionable)</t>
    </r>
    <r>
      <rPr>
        <rFont val="Arial"/>
        <color theme="1"/>
      </rPr>
      <t xml:space="preserve">
What should be repeated or changed next time based on this session?</t>
    </r>
  </si>
  <si>
    <r>
      <rPr>
        <rFont val="Arial"/>
        <b/>
        <color theme="1"/>
      </rPr>
      <t>Active Selling Time (store)</t>
    </r>
    <r>
      <rPr>
        <rFont val="Arial"/>
        <color theme="1"/>
      </rPr>
      <t xml:space="preserve">
Time (in hours) actively spent selling and engaging customers inside the store</t>
    </r>
  </si>
  <si>
    <r>
      <rPr>
        <rFont val="Arial"/>
        <b/>
        <color theme="1"/>
      </rPr>
      <t>Estimated engagement level</t>
    </r>
    <r>
      <rPr>
        <rFont val="Arial"/>
        <color theme="1"/>
      </rPr>
      <t xml:space="preserve">
Based on how long customers stayed and how engaged they were in conversation</t>
    </r>
  </si>
  <si>
    <r>
      <rPr>
        <rFont val="Arial"/>
        <b/>
        <color theme="1"/>
      </rPr>
      <t xml:space="preserve">Primary customer segments observed. </t>
    </r>
    <r>
      <rPr>
        <rFont val="Arial"/>
        <color theme="1"/>
      </rPr>
      <t xml:space="preserve">
Main customer types (e.g. whisky drinkers, rum drinkers, curious/unsure, couples etc.) </t>
    </r>
  </si>
  <si>
    <r>
      <rPr>
        <rFont val="Arial"/>
        <b/>
        <color theme="1"/>
      </rPr>
      <t>Low activity / non-selling time (store)</t>
    </r>
    <r>
      <rPr>
        <rFont val="Arial"/>
        <color theme="1"/>
      </rPr>
      <t xml:space="preserve">
Time (in hours inside the store) with low traffic or limited selling opportunity</t>
    </r>
  </si>
  <si>
    <t>Promotor Name</t>
  </si>
  <si>
    <r>
      <rPr>
        <rFont val="Arial"/>
        <b/>
        <color theme="1"/>
      </rPr>
      <t>Adult passengers (official)</t>
    </r>
    <r>
      <rPr>
        <rFont val="Arial"/>
        <color theme="1"/>
      </rPr>
      <t xml:space="preserve">
Number of adults from official passenger report (primary purchase-relevant group)</t>
    </r>
  </si>
  <si>
    <r>
      <rPr>
        <rFont val="Arial"/>
        <b/>
        <color theme="1"/>
      </rPr>
      <t>Traffic context (optional)</t>
    </r>
    <r>
      <rPr>
        <rFont val="Arial"/>
        <color theme="1"/>
      </rPr>
      <t xml:space="preserve">
Anything affecting the customer flow (e.g. families, youth groups, Danish-heavy crowd, events, time of day)</t>
    </r>
  </si>
  <si>
    <r>
      <rPr>
        <rFont val="Arial"/>
        <b/>
        <color theme="1"/>
      </rPr>
      <t>Pre-Activation Time (external)</t>
    </r>
    <r>
      <rPr>
        <rFont val="Arial"/>
        <color theme="1"/>
      </rPr>
      <t xml:space="preserve">
Time spent outside the store to attract customers before opening (e.g. boarding area activation, awareness building) Ex: 45min</t>
    </r>
  </si>
  <si>
    <r>
      <rPr>
        <rFont val="Arial"/>
        <b/>
        <color theme="1"/>
      </rPr>
      <t>Pre-Activation Description (optional)</t>
    </r>
    <r>
      <rPr>
        <rFont val="Arial"/>
        <color theme="1"/>
      </rPr>
      <t xml:space="preserve">
Brief description of how pre-activation was executed (location, approach, effect) Ex:Pre-activation conducted at boarding area</t>
    </r>
  </si>
  <si>
    <r>
      <rPr>
        <rFont val="Arial"/>
        <b/>
        <color theme="1"/>
      </rPr>
      <t>Product role insights (optional)</t>
    </r>
    <r>
      <rPr>
        <rFont val="Arial"/>
        <color theme="1"/>
      </rPr>
      <t xml:space="preserve">
How different products functioned in the sales process (e.g. curiosity driver, whisky bridge, closing product)</t>
    </r>
  </si>
  <si>
    <t xml:space="preserve">Stena Line Jutlandica </t>
  </si>
  <si>
    <t>A Clean Spirit</t>
  </si>
  <si>
    <t>12yo</t>
  </si>
  <si>
    <t>Terra Verde XO</t>
  </si>
  <si>
    <t xml:space="preserve">Customer interaction </t>
  </si>
  <si>
    <t>Price</t>
  </si>
  <si>
    <t>I got som new customers that don’t drink rum, by introducing them.</t>
  </si>
  <si>
    <t>Stena Line Danica</t>
  </si>
  <si>
    <t>Trippel Cask</t>
  </si>
  <si>
    <t xml:space="preserve">Converting whiskey drinkers </t>
  </si>
  <si>
    <t xml:space="preserve">What should I try if I drink whiskey </t>
  </si>
  <si>
    <t xml:space="preserve">Many whiskey drinkers </t>
  </si>
  <si>
    <t>Stena Danica</t>
  </si>
  <si>
    <t>XOS for those who don’t drink Rum</t>
  </si>
  <si>
    <t>The positive reaction of smooth rum</t>
  </si>
  <si>
    <t>I drink whiskey, what should I try</t>
  </si>
  <si>
    <t>Make more introduktion to newbie’s to XOS</t>
  </si>
  <si>
    <t>Low</t>
  </si>
  <si>
    <t xml:space="preserve">Sport teams and coachers </t>
  </si>
  <si>
    <t>Robert Tholin</t>
  </si>
  <si>
    <t>XOS</t>
  </si>
  <si>
    <t>Sweet rum for those who usually don’t drink rum</t>
  </si>
  <si>
    <t>Du you have something seeet</t>
  </si>
  <si>
    <t xml:space="preserve">Nothing, too many teenagers and coaches who can’t and won’t drink </t>
  </si>
  <si>
    <t>Unsure sport people. Almost 2000</t>
  </si>
  <si>
    <t>2.5</t>
  </si>
  <si>
    <t xml:space="preserve">Trippel Cask </t>
  </si>
  <si>
    <t>The comparison between Planteray XO and Terra Verde XO</t>
  </si>
  <si>
    <t>Which one do I like?</t>
  </si>
  <si>
    <t>I need to try Zacapa and Diplomatico so I can use them as a bridge into the 8yo.</t>
  </si>
  <si>
    <t>High</t>
  </si>
  <si>
    <t xml:space="preserve">Beginners, curious and whiskey drinkers </t>
  </si>
  <si>
    <t>0.75</t>
  </si>
  <si>
    <t>Activation Overview</t>
  </si>
  <si>
    <t>Passengers</t>
  </si>
  <si>
    <t>Adult Passengers</t>
  </si>
  <si>
    <t>Active Selling Time (store)</t>
  </si>
  <si>
    <t>Pre-Activation Time</t>
  </si>
  <si>
    <t>Performance</t>
  </si>
  <si>
    <t>Tastings</t>
  </si>
  <si>
    <t>Purchases</t>
  </si>
  <si>
    <t>Conversion Rate</t>
  </si>
  <si>
    <t>Activation Summary</t>
  </si>
  <si>
    <t>Pre-activation (~45 min) conducted at boarding area to drive early traffic into store upon opening.</t>
  </si>
  <si>
    <t>Strong engagement from whisky-oriented customers. Triple Cask worked effectively as a conversion bridge.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</si>
</sst>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9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ulärsvar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X7" displayName="Form_Responses" name="Form_Responses" id="1">
  <tableColumns count="24">
    <tableColumn name="Tidstämpel" id="1"/>
    <tableColumn name="Date_x000a_Date of activation (per session or per roundtrip)" id="2"/>
    <tableColumn name="Location_x000a_Route and vessel (e.g. Stena Danica – Gothenburg–Frederikshavn)" id="3"/>
    <tableColumn name="Passengers/ visitors (approx.)_x000a_Total number of passengers on this departure (from official report)" id="4"/>
    <tableColumn name="Brand" id="5"/>
    <tableColumn name="Number of tastings (approx.)_x000a_Estimated number of individual customers who engaged in tasting (not number of samples poured)" id="6"/>
    <tableColumn name="Estimated number of purchases _x000a_Estimated number of bottles sold based on your observation" id="7"/>
    <tableColumn name="Which product generated the most curiosity ?_x000a_Which product attracted the most attention or initial interest (not necessarily purchases)" id="8"/>
    <tableColumn name="Which product do you think sold the most?" id="9"/>
    <tableColumn name="Which age group showed the most purchase interest?" id="10"/>
    <tableColumn name="Conversion drivers?_x000a_What specifically triggered purchase decisions? (storytelling, taste profile, comparisons etc.)" id="11"/>
    <tableColumn name="Most common customer question_x000a_What did customers most often ask before buying or tasting?" id="12"/>
    <tableColumn name="How well did the session go?" id="13"/>
    <tableColumn name="Key Sales Insights (actionable)_x000a_What should be repeated or changed next time based on this session?" id="14"/>
    <tableColumn name="Active Selling Time (store)_x000a_Time (in hours) actively spent selling and engaging customers inside the store" id="15"/>
    <tableColumn name="Estimated engagement level_x000a_Based on how long customers stayed and how engaged they were in conversation" id="16"/>
    <tableColumn name="Primary customer segments observed. _x000a_Main customer types (e.g. whisky drinkers, rum drinkers, curious/unsure, couples etc.) " id="17"/>
    <tableColumn name="Low activity / non-selling time (store)_x000a_Time (in hours inside the store) with low traffic or limited selling opportunity" id="18"/>
    <tableColumn name="Promotor Name" id="19"/>
    <tableColumn name="Adult passengers (official)_x000a_Number of adults from official passenger report (primary purchase-relevant group)" id="20"/>
    <tableColumn name="Traffic context (optional)_x000a_Anything affecting the customer flow (e.g. families, youth groups, Danish-heavy crowd, events, time of day)" id="21"/>
    <tableColumn name="Pre-Activation Time (external)_x000a_Time spent outside the store to attract customers before opening (e.g. boarding area activation, awareness building) Ex: 45min" id="22"/>
    <tableColumn name="Pre-Activation Description (optional)_x000a_Brief description of how pre-activation was executed (location, approach, effect) Ex:Pre-activation conducted at boarding area" id="23"/>
    <tableColumn name="Product role insights (optional)_x000a_How different products functioned in the sales process (e.g. curiosity driver, whisky bridge, closing product)" id="24"/>
  </tableColumns>
  <tableStyleInfo name="Formulärsvar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8.63"/>
    <col customWidth="1" min="5" max="5" width="18.88"/>
    <col customWidth="1" min="6" max="6" width="20.13"/>
    <col customWidth="1" min="7" max="11" width="37.63"/>
    <col customWidth="1" min="12" max="12" width="37.0"/>
    <col customWidth="1" min="13" max="13" width="27.5"/>
    <col customWidth="1" min="14" max="21" width="18.88"/>
    <col customWidth="1" min="22" max="22" width="24.88"/>
    <col customWidth="1" min="23" max="23" width="29.0"/>
    <col customWidth="1" min="24" max="3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ht="22.5" customHeight="1">
      <c r="A2" s="4">
        <v>46102.6868741088</v>
      </c>
      <c r="B2" s="5">
        <v>46102.0</v>
      </c>
      <c r="C2" s="6" t="s">
        <v>24</v>
      </c>
      <c r="D2" s="6">
        <v>500.0</v>
      </c>
      <c r="E2" s="6" t="s">
        <v>25</v>
      </c>
      <c r="F2" s="6">
        <v>25.0</v>
      </c>
      <c r="G2" s="6">
        <v>9.0</v>
      </c>
      <c r="H2" s="6" t="s">
        <v>26</v>
      </c>
      <c r="I2" s="6" t="s">
        <v>27</v>
      </c>
      <c r="J2" s="6">
        <v>35.0</v>
      </c>
      <c r="K2" s="6" t="s">
        <v>28</v>
      </c>
      <c r="L2" s="6" t="s">
        <v>29</v>
      </c>
      <c r="M2" s="6">
        <v>3.0</v>
      </c>
      <c r="N2" s="6" t="s">
        <v>30</v>
      </c>
      <c r="O2" s="7"/>
      <c r="P2" s="7"/>
      <c r="Q2" s="7"/>
      <c r="R2" s="7"/>
      <c r="S2" s="7"/>
      <c r="T2" s="7"/>
      <c r="U2" s="7"/>
      <c r="V2" s="7"/>
      <c r="W2" s="7"/>
      <c r="X2" s="7"/>
    </row>
    <row r="3" ht="22.5" customHeight="1">
      <c r="A3" s="8">
        <v>46109.71104059028</v>
      </c>
      <c r="B3" s="9">
        <v>46109.0</v>
      </c>
      <c r="C3" s="10" t="s">
        <v>31</v>
      </c>
      <c r="D3" s="10">
        <v>1500.0</v>
      </c>
      <c r="E3" s="10" t="s">
        <v>25</v>
      </c>
      <c r="F3" s="10">
        <v>50.0</v>
      </c>
      <c r="G3" s="10">
        <v>9.0</v>
      </c>
      <c r="H3" s="10" t="s">
        <v>32</v>
      </c>
      <c r="I3" s="10" t="s">
        <v>32</v>
      </c>
      <c r="J3" s="10">
        <v>45.0</v>
      </c>
      <c r="K3" s="10" t="s">
        <v>33</v>
      </c>
      <c r="L3" s="10" t="s">
        <v>34</v>
      </c>
      <c r="M3" s="10">
        <v>3.0</v>
      </c>
      <c r="N3" s="10" t="s">
        <v>35</v>
      </c>
      <c r="O3" s="11"/>
      <c r="P3" s="11"/>
      <c r="Q3" s="11"/>
      <c r="R3" s="11"/>
      <c r="S3" s="11"/>
      <c r="T3" s="11"/>
      <c r="U3" s="11"/>
      <c r="V3" s="11"/>
      <c r="W3" s="11"/>
      <c r="X3" s="11"/>
    </row>
    <row r="4" ht="22.5" customHeight="1">
      <c r="A4" s="8">
        <v>46114.697757835645</v>
      </c>
      <c r="B4" s="9">
        <v>46114.0</v>
      </c>
      <c r="C4" s="10" t="s">
        <v>36</v>
      </c>
      <c r="D4" s="10">
        <v>2000.0</v>
      </c>
      <c r="E4" s="10" t="s">
        <v>25</v>
      </c>
      <c r="F4" s="10">
        <v>40.0</v>
      </c>
      <c r="G4" s="10">
        <v>4.0</v>
      </c>
      <c r="H4" s="10" t="s">
        <v>37</v>
      </c>
      <c r="J4" s="10">
        <v>35.0</v>
      </c>
      <c r="K4" s="10" t="s">
        <v>38</v>
      </c>
      <c r="L4" s="10" t="s">
        <v>39</v>
      </c>
      <c r="N4" s="10" t="s">
        <v>40</v>
      </c>
      <c r="O4" s="10">
        <v>4.0</v>
      </c>
      <c r="P4" s="10" t="s">
        <v>41</v>
      </c>
      <c r="Q4" s="10" t="s">
        <v>42</v>
      </c>
      <c r="R4" s="10">
        <v>3.0</v>
      </c>
      <c r="S4" s="10" t="s">
        <v>43</v>
      </c>
      <c r="T4" s="11"/>
      <c r="U4" s="11"/>
      <c r="V4" s="11"/>
      <c r="W4" s="11"/>
      <c r="X4" s="11"/>
    </row>
    <row r="5" ht="22.5" customHeight="1">
      <c r="A5" s="8">
        <v>46118.78159809028</v>
      </c>
      <c r="B5" s="9">
        <v>46118.0</v>
      </c>
      <c r="C5" s="10" t="s">
        <v>36</v>
      </c>
      <c r="D5" s="10">
        <v>3000.0</v>
      </c>
      <c r="E5" s="10" t="s">
        <v>25</v>
      </c>
      <c r="F5" s="10">
        <v>35.0</v>
      </c>
      <c r="G5" s="10">
        <v>7.0</v>
      </c>
      <c r="H5" s="10" t="s">
        <v>44</v>
      </c>
      <c r="J5" s="10">
        <v>45.0</v>
      </c>
      <c r="K5" s="10" t="s">
        <v>45</v>
      </c>
      <c r="L5" s="10" t="s">
        <v>46</v>
      </c>
      <c r="N5" s="10" t="s">
        <v>47</v>
      </c>
      <c r="O5" s="10">
        <v>4.0</v>
      </c>
      <c r="P5" s="10" t="s">
        <v>41</v>
      </c>
      <c r="Q5" s="10" t="s">
        <v>48</v>
      </c>
      <c r="R5" s="10" t="s">
        <v>49</v>
      </c>
      <c r="S5" s="10" t="s">
        <v>43</v>
      </c>
      <c r="T5" s="11"/>
      <c r="U5" s="11"/>
      <c r="V5" s="11"/>
      <c r="W5" s="11"/>
      <c r="X5" s="11"/>
    </row>
    <row r="6" ht="22.5" customHeight="1">
      <c r="A6" s="8">
        <v>46124.82714150463</v>
      </c>
      <c r="B6" s="9">
        <v>46123.0</v>
      </c>
      <c r="C6" s="10" t="s">
        <v>36</v>
      </c>
      <c r="D6" s="10">
        <v>1100.0</v>
      </c>
      <c r="E6" s="10" t="s">
        <v>25</v>
      </c>
      <c r="F6" s="10">
        <v>100.0</v>
      </c>
      <c r="G6" s="10">
        <v>12.0</v>
      </c>
      <c r="H6" s="10" t="s">
        <v>50</v>
      </c>
      <c r="J6" s="10">
        <v>35.0</v>
      </c>
      <c r="K6" s="10" t="s">
        <v>51</v>
      </c>
      <c r="L6" s="10" t="s">
        <v>52</v>
      </c>
      <c r="N6" s="10" t="s">
        <v>53</v>
      </c>
      <c r="O6" s="10">
        <v>4.0</v>
      </c>
      <c r="P6" s="10" t="s">
        <v>54</v>
      </c>
      <c r="Q6" s="10" t="s">
        <v>55</v>
      </c>
      <c r="R6" s="10">
        <v>1.0</v>
      </c>
      <c r="S6" s="10" t="s">
        <v>43</v>
      </c>
      <c r="T6" s="10">
        <v>700.0</v>
      </c>
      <c r="U6" s="11"/>
      <c r="V6" s="11"/>
      <c r="W6" s="11"/>
      <c r="X6" s="11"/>
    </row>
    <row r="7" ht="22.5" customHeight="1">
      <c r="A7" s="8">
        <v>46125.65231153935</v>
      </c>
      <c r="V7" s="12" t="s">
        <v>56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42.5"/>
    <col customWidth="1" min="3" max="3" width="19.75"/>
  </cols>
  <sheetData>
    <row r="1">
      <c r="A1" s="13" t="s">
        <v>57</v>
      </c>
      <c r="D1" s="14">
        <v>6.0</v>
      </c>
    </row>
    <row r="2">
      <c r="A2" s="14" t="s">
        <v>58</v>
      </c>
      <c r="B2" s="15">
        <f t="array" ref="B2">INDEX('Formulärsvar 1'!D:D,COUNTA('Formulärsvar 1'!D:D))</f>
        <v>1100</v>
      </c>
    </row>
    <row r="3">
      <c r="A3" s="14" t="s">
        <v>59</v>
      </c>
    </row>
    <row r="4">
      <c r="A4" s="14" t="s">
        <v>60</v>
      </c>
    </row>
    <row r="5">
      <c r="A5" s="14" t="s">
        <v>61</v>
      </c>
      <c r="B5" s="15" t="str">
        <f>IFERROR(__xludf.DUMMYFUNCTION("INDEX('Formulärsvar 1'!V:V,MAX(FILTER(ROW('Formulärsvar 1'!V:V),ÄRTAL('Formulärsvar 1'!V:V))))"),"#N/A")</f>
        <v>#N/A</v>
      </c>
    </row>
    <row r="7">
      <c r="A7" s="13" t="s">
        <v>62</v>
      </c>
    </row>
    <row r="8">
      <c r="A8" s="14" t="s">
        <v>63</v>
      </c>
      <c r="B8" s="15">
        <f t="array" ref="B8">INDEX('Formulärsvar 1'!F:F,COUNTA('Formulärsvar 1'!F:F))</f>
        <v>100</v>
      </c>
    </row>
    <row r="9">
      <c r="A9" s="14" t="s">
        <v>64</v>
      </c>
      <c r="B9" s="15">
        <f t="array" ref="B9">INDEX('Formulärsvar 1'!G:G,COUNTA('Formulärsvar 1'!G:G))</f>
        <v>12</v>
      </c>
    </row>
    <row r="10">
      <c r="A10" s="14" t="s">
        <v>65</v>
      </c>
      <c r="B10" s="16">
        <f>B9/B8</f>
        <v>0.12</v>
      </c>
    </row>
    <row r="12">
      <c r="A12" s="13" t="s">
        <v>66</v>
      </c>
    </row>
    <row r="13">
      <c r="A13" s="14" t="s">
        <v>67</v>
      </c>
    </row>
    <row r="14">
      <c r="A14" s="14" t="s">
        <v>68</v>
      </c>
    </row>
  </sheetData>
  <drawing r:id="rId1"/>
</worksheet>
</file>